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nt\Documents\Cá Nhân\"/>
    </mc:Choice>
  </mc:AlternateContent>
  <xr:revisionPtr revIDLastSave="0" documentId="13_ncr:1_{516C79AA-6937-49F9-A44B-027F1574FC95}" xr6:coauthVersionLast="47" xr6:coauthVersionMax="47" xr10:uidLastSave="{00000000-0000-0000-0000-000000000000}"/>
  <bookViews>
    <workbookView xWindow="-120" yWindow="-120" windowWidth="24240" windowHeight="13020" xr2:uid="{1AAA2C0E-BFBA-4614-97F1-3D2EFCFDDFB5}"/>
  </bookViews>
  <sheets>
    <sheet name="30.4" sheetId="1" r:id="rId1"/>
    <sheet name="Khách sạn" sheetId="6" r:id="rId2"/>
    <sheet name="Lịch trình tham qua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C6" i="1"/>
  <c r="B12" i="1"/>
  <c r="E12" i="1" s="1"/>
  <c r="F5" i="6"/>
  <c r="F6" i="6"/>
  <c r="F7" i="6"/>
  <c r="F8" i="6"/>
  <c r="F4" i="6"/>
  <c r="E7" i="1"/>
  <c r="E8" i="1"/>
  <c r="E9" i="1"/>
  <c r="E10" i="1"/>
  <c r="E11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D7" i="1"/>
  <c r="D8" i="1"/>
  <c r="D9" i="1"/>
  <c r="D10" i="1"/>
  <c r="D11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C7" i="1"/>
  <c r="C8" i="1"/>
  <c r="C9" i="1"/>
  <c r="C10" i="1"/>
  <c r="C11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E5" i="1"/>
  <c r="D5" i="1"/>
  <c r="C5" i="1"/>
  <c r="C12" i="1" l="1"/>
  <c r="B27" i="1"/>
  <c r="D27" i="1"/>
  <c r="D33" i="1" s="1"/>
  <c r="C27" i="1"/>
  <c r="E27" i="1"/>
  <c r="E33" i="1" s="1"/>
</calcChain>
</file>

<file path=xl/sharedStrings.xml><?xml version="1.0" encoding="utf-8"?>
<sst xmlns="http://schemas.openxmlformats.org/spreadsheetml/2006/main" count="94" uniqueCount="89">
  <si>
    <t>Danh sách</t>
  </si>
  <si>
    <t>Tam Tú</t>
  </si>
  <si>
    <t>Gia đình</t>
  </si>
  <si>
    <t>Chi Hào</t>
  </si>
  <si>
    <t>Tèo Tường</t>
  </si>
  <si>
    <t>Chi phí tổng</t>
  </si>
  <si>
    <t>Chi</t>
  </si>
  <si>
    <t>Thanh toán cuối</t>
  </si>
  <si>
    <t>Tổng chi phí</t>
  </si>
  <si>
    <t>Chi phí ăn chơi 7 ngày Nha Trang</t>
  </si>
  <si>
    <t xml:space="preserve">2 gia đình đã đóng trước </t>
  </si>
  <si>
    <t>Vé máy bay</t>
  </si>
  <si>
    <t>Khách sạn tại Cam Ranh</t>
  </si>
  <si>
    <t>Ngày</t>
  </si>
  <si>
    <t>25/4</t>
  </si>
  <si>
    <t>Tên KS</t>
  </si>
  <si>
    <t>Số đêm</t>
  </si>
  <si>
    <t>Đã cọc</t>
  </si>
  <si>
    <t>Còn lại</t>
  </si>
  <si>
    <t>Địa chỉ</t>
  </si>
  <si>
    <t>Note</t>
  </si>
  <si>
    <t>Magnolia Hotel Cam Ranh</t>
  </si>
  <si>
    <t>47 Đại lộ Hùng Vương, phường Cam Nghĩa, thành phố Cam Ranh, tỉnh Khánh Hòa</t>
  </si>
  <si>
    <t>Số điện thoại</t>
  </si>
  <si>
    <t>0902666008</t>
  </si>
  <si>
    <t>26/4 và 27/4</t>
  </si>
  <si>
    <t>3 phòng đôi</t>
  </si>
  <si>
    <t>28 và 29/4</t>
  </si>
  <si>
    <t>Lanxy Hotel (Nha Trang)</t>
  </si>
  <si>
    <t>3 phường 1 giường lớn</t>
  </si>
  <si>
    <t>2 phòng Giường lớn, ngủ chung</t>
  </si>
  <si>
    <t>30/4</t>
  </si>
  <si>
    <t xml:space="preserve"> Mon Sun Sea (Huế)</t>
  </si>
  <si>
    <t xml:space="preserve">3 phòng đôi </t>
  </si>
  <si>
    <t>Ngày 1/5</t>
  </si>
  <si>
    <t>Golden hotel Hà Tĩnh</t>
  </si>
  <si>
    <t>0777191900</t>
  </si>
  <si>
    <t>số 3 Nguyễn An Ninh, Vỹ Dạ</t>
  </si>
  <si>
    <t>3 phòng 1 giường lớn</t>
  </si>
  <si>
    <t>La Mer Homestay Quy Nhơn</t>
  </si>
  <si>
    <t>0849056979</t>
  </si>
  <si>
    <t>03 Đặng Văn Chấn, Nguyễn Văn Cừ, Quy Nhơn Nam, Gia Lai 02563</t>
  </si>
  <si>
    <t>0984688654</t>
  </si>
  <si>
    <t>96b/2 Trần Phú, Lộc Thọ, Nha Trang, Khánh Hòa 57106, Nha Trang, Khánh Hòa 57000</t>
  </si>
  <si>
    <t xml:space="preserve">4/73 Đặng Văn Bá, TP Hà Tĩnh </t>
  </si>
  <si>
    <t>Túi nước tắm</t>
  </si>
  <si>
    <t>Phí gửi xe</t>
  </si>
  <si>
    <r>
      <t>📍</t>
    </r>
    <r>
      <rPr>
        <b/>
        <sz val="12"/>
        <color theme="1"/>
        <rFont val="Aptos"/>
        <family val="2"/>
      </rPr>
      <t xml:space="preserve"> Chặng 1: Nha Trang (25/04 – 28/04)</t>
    </r>
  </si>
  <si>
    <t>Ngày 1 (25/04): Đến Nha Trang</t>
  </si>
  <si>
    <r>
      <t>Check-in:</t>
    </r>
    <r>
      <rPr>
        <sz val="12"/>
        <color theme="1"/>
        <rFont val="Aptos"/>
        <family val="2"/>
      </rPr>
      <t xml:space="preserve"> Dự kiến 22h00.</t>
    </r>
  </si>
  <si>
    <r>
      <t>Nghỉ ngơi:</t>
    </r>
    <r>
      <rPr>
        <sz val="12"/>
        <color theme="1"/>
        <rFont val="Aptos"/>
        <family val="2"/>
      </rPr>
      <t xml:space="preserve"> Vì bay muộn và gia đình có 4 người, bạn nên chọn các khách sạn/căn hộ gần </t>
    </r>
    <r>
      <rPr>
        <b/>
        <sz val="12"/>
        <color theme="1"/>
        <rFont val="Aptos"/>
        <family val="2"/>
      </rPr>
      <t>đường Nguyễn Tất Thành</t>
    </r>
    <r>
      <rPr>
        <sz val="12"/>
        <color theme="1"/>
        <rFont val="Aptos"/>
        <family val="2"/>
      </rPr>
      <t xml:space="preserve"> hoặc khu vực </t>
    </r>
    <r>
      <rPr>
        <b/>
        <sz val="12"/>
        <color theme="1"/>
        <rFont val="Aptos"/>
        <family val="2"/>
      </rPr>
      <t>Bãi Dài</t>
    </r>
    <r>
      <rPr>
        <sz val="12"/>
        <color theme="1"/>
        <rFont val="Aptos"/>
        <family val="2"/>
      </rPr>
      <t xml:space="preserve"> (gần sân bay Cam Ranh) để tiện nghỉ ngơi ngay, hoặc vào trung tâm thành phố (cách 35km - 45 phút lái xe).</t>
    </r>
  </si>
  <si>
    <t>Ngày 2 (26/04): Cung đường biển đẹp nhất Việt Nam (Nha Trang – Vĩnh Hy)</t>
  </si>
  <si>
    <r>
      <t>Sáng (07h30 - 09h00):</t>
    </r>
    <r>
      <rPr>
        <sz val="12"/>
        <color theme="1"/>
        <rFont val="Aptos"/>
        <family val="2"/>
      </rPr>
      <t xml:space="preserve"> Di chuyển từ Nha Trang đi </t>
    </r>
    <r>
      <rPr>
        <b/>
        <sz val="12"/>
        <color theme="1"/>
        <rFont val="Aptos"/>
        <family val="2"/>
      </rPr>
      <t>Vĩnh Hy</t>
    </r>
    <r>
      <rPr>
        <sz val="12"/>
        <color theme="1"/>
        <rFont val="Aptos"/>
        <family val="2"/>
      </rPr>
      <t xml:space="preserve"> (vịnh Ninh Thuận). Quãng đường khoảng 100km, đi theo cung đường ven biển qua Đầm Thủy Triều và Bình Lập để ngắm cảnh.</t>
    </r>
  </si>
  <si>
    <r>
      <t>09h00 - 11h30:</t>
    </r>
    <r>
      <rPr>
        <sz val="12"/>
        <color theme="1"/>
        <rFont val="Aptos"/>
        <family val="2"/>
      </rPr>
      <t xml:space="preserve"> * </t>
    </r>
    <r>
      <rPr>
        <b/>
        <sz val="12"/>
        <color theme="1"/>
        <rFont val="Aptos"/>
        <family val="2"/>
      </rPr>
      <t>Hang Rái:</t>
    </r>
    <r>
      <rPr>
        <sz val="12"/>
        <color theme="1"/>
        <rFont val="Aptos"/>
        <family val="2"/>
      </rPr>
      <t xml:space="preserve"> Ngắm rạn san hô cổ và thác nước trên biển.</t>
    </r>
  </si>
  <si>
    <r>
      <t>Vịnh Vĩnh Hy:</t>
    </r>
    <r>
      <rPr>
        <sz val="12"/>
        <color theme="1"/>
        <rFont val="Aptos"/>
        <family val="2"/>
      </rPr>
      <t xml:space="preserve"> Thuê cano đáy kính ngắm san hô và tắm biển tại bãi Cóc.</t>
    </r>
  </si>
  <si>
    <r>
      <t>Trưa:</t>
    </r>
    <r>
      <rPr>
        <sz val="12"/>
        <color theme="1"/>
        <rFont val="Aptos"/>
        <family val="2"/>
      </rPr>
      <t xml:space="preserve"> Ăn hải sản tại các nhà bè nổi (Nhà bè Út Thành hoặc Vui Vẻ). Giá khoảng 200.000 - 300.000 VNĐ/người.</t>
    </r>
  </si>
  <si>
    <r>
      <t>Chiều (13h30 - 15h30):</t>
    </r>
    <r>
      <rPr>
        <sz val="12"/>
        <color theme="1"/>
        <rFont val="Aptos"/>
        <family val="2"/>
      </rPr>
      <t xml:space="preserve"> Ghé </t>
    </r>
    <r>
      <rPr>
        <b/>
        <sz val="12"/>
        <color theme="1"/>
        <rFont val="Aptos"/>
        <family val="2"/>
      </rPr>
      <t>Vườn nho Thái An</t>
    </r>
    <r>
      <rPr>
        <sz val="12"/>
        <color theme="1"/>
        <rFont val="Aptos"/>
        <family val="2"/>
      </rPr>
      <t xml:space="preserve"> (cách Vĩnh Hy 7km) để hái nho tươi và mua quà.</t>
    </r>
  </si>
  <si>
    <r>
      <t>Tối:</t>
    </r>
    <r>
      <rPr>
        <sz val="12"/>
        <color theme="1"/>
        <rFont val="Aptos"/>
        <family val="2"/>
      </rPr>
      <t xml:space="preserve"> Về lại Nha Trang. Ăn tối </t>
    </r>
    <r>
      <rPr>
        <b/>
        <sz val="12"/>
        <color theme="1"/>
        <rFont val="Aptos"/>
        <family val="2"/>
      </rPr>
      <t>Nem nướng Đặng Văn Quyên</t>
    </r>
    <r>
      <rPr>
        <sz val="12"/>
        <color theme="1"/>
        <rFont val="Aptos"/>
        <family val="2"/>
      </rPr>
      <t xml:space="preserve"> (16A Lãn Ông) hoặc </t>
    </r>
    <r>
      <rPr>
        <b/>
        <sz val="12"/>
        <color theme="1"/>
        <rFont val="Aptos"/>
        <family val="2"/>
      </rPr>
      <t>Bò nướng Lạc Cảnh</t>
    </r>
    <r>
      <rPr>
        <sz val="12"/>
        <color theme="1"/>
        <rFont val="Aptos"/>
        <family val="2"/>
      </rPr>
      <t xml:space="preserve"> (77 Nguyễn Bỉnh Khiêm).</t>
    </r>
  </si>
  <si>
    <t>Ngày 3 (27/04): Tham quan thành phố</t>
  </si>
  <si>
    <r>
      <t>Sáng:</t>
    </r>
    <r>
      <rPr>
        <sz val="12"/>
        <color theme="1"/>
        <rFont val="Aptos"/>
        <family val="2"/>
      </rPr>
      <t xml:space="preserve"> Thăm </t>
    </r>
    <r>
      <rPr>
        <b/>
        <sz val="12"/>
        <color theme="1"/>
        <rFont val="Aptos"/>
        <family val="2"/>
      </rPr>
      <t>Viện Hải dương học</t>
    </r>
    <r>
      <rPr>
        <sz val="12"/>
        <color theme="1"/>
        <rFont val="Aptos"/>
        <family val="2"/>
      </rPr>
      <t xml:space="preserve"> (số 1 Cầu Đá) và </t>
    </r>
    <r>
      <rPr>
        <b/>
        <sz val="12"/>
        <color theme="1"/>
        <rFont val="Aptos"/>
        <family val="2"/>
      </rPr>
      <t>Tháp Bà Ponagar</t>
    </r>
    <r>
      <rPr>
        <sz val="12"/>
        <color theme="1"/>
        <rFont val="Aptos"/>
        <family val="2"/>
      </rPr>
      <t xml:space="preserve"> (đường 2/4).</t>
    </r>
  </si>
  <si>
    <r>
      <t>Chiều:</t>
    </r>
    <r>
      <rPr>
        <sz val="12"/>
        <color theme="1"/>
        <rFont val="Aptos"/>
        <family val="2"/>
      </rPr>
      <t xml:space="preserve"> Tắm biển Nha Trang hoặc đi cáp treo VinWonders.</t>
    </r>
  </si>
  <si>
    <r>
      <t>Ăn uống:</t>
    </r>
    <r>
      <rPr>
        <sz val="12"/>
        <color theme="1"/>
        <rFont val="Aptos"/>
        <family val="2"/>
      </rPr>
      <t xml:space="preserve"> Thử </t>
    </r>
    <r>
      <rPr>
        <b/>
        <sz val="12"/>
        <color theme="1"/>
        <rFont val="Aptos"/>
        <family val="2"/>
      </rPr>
      <t>Bún sứa/Bún chả cá Năm Beo</t>
    </r>
    <r>
      <rPr>
        <sz val="12"/>
        <color theme="1"/>
        <rFont val="Aptos"/>
        <family val="2"/>
      </rPr>
      <t xml:space="preserve"> (Chợ Đầm) hoặc </t>
    </r>
    <r>
      <rPr>
        <b/>
        <sz val="12"/>
        <color theme="1"/>
        <rFont val="Aptos"/>
        <family val="2"/>
      </rPr>
      <t>Cơm Niêu Thiên Lý</t>
    </r>
    <r>
      <rPr>
        <sz val="12"/>
        <color theme="1"/>
        <rFont val="Aptos"/>
        <family val="2"/>
      </rPr>
      <t xml:space="preserve"> (Hoàng Văn Thụ) cho bữa cơm gia đình ấm cúng.</t>
    </r>
  </si>
  <si>
    <r>
      <t>📍</t>
    </r>
    <r>
      <rPr>
        <b/>
        <sz val="12"/>
        <color theme="1"/>
        <rFont val="Aptos"/>
        <family val="2"/>
      </rPr>
      <t xml:space="preserve"> Chặng 2: Quy Nhơn (28/04 – 30/04)</t>
    </r>
  </si>
  <si>
    <r>
      <t xml:space="preserve">Ngày 4 (28/04): Nha Trang </t>
    </r>
    <r>
      <rPr>
        <b/>
        <sz val="12"/>
        <color theme="1"/>
        <rFont val="Segoe UI Symbol"/>
        <family val="2"/>
      </rPr>
      <t>➔</t>
    </r>
    <r>
      <rPr>
        <b/>
        <sz val="12"/>
        <color theme="1"/>
        <rFont val="Aptos"/>
        <family val="2"/>
      </rPr>
      <t xml:space="preserve"> Quy Nhơn (215km ~ 4 tiếng)</t>
    </r>
  </si>
  <si>
    <r>
      <t>Sáng:</t>
    </r>
    <r>
      <rPr>
        <sz val="12"/>
        <color theme="1"/>
        <rFont val="Aptos"/>
        <family val="2"/>
      </rPr>
      <t xml:space="preserve"> Check-out sớm. Trên đường đi dừng chân tại </t>
    </r>
    <r>
      <rPr>
        <b/>
        <sz val="12"/>
        <color theme="1"/>
        <rFont val="Aptos"/>
        <family val="2"/>
      </rPr>
      <t>Ghềnh Đá Đĩa</t>
    </r>
    <r>
      <rPr>
        <sz val="12"/>
        <color theme="1"/>
        <rFont val="Aptos"/>
        <family val="2"/>
      </rPr>
      <t xml:space="preserve"> (Phú Yên) và </t>
    </r>
    <r>
      <rPr>
        <b/>
        <sz val="12"/>
        <color theme="1"/>
        <rFont val="Aptos"/>
        <family val="2"/>
      </rPr>
      <t>Tháp Nhạn</t>
    </r>
    <r>
      <rPr>
        <sz val="12"/>
        <color theme="1"/>
        <rFont val="Aptos"/>
        <family val="2"/>
      </rPr>
      <t xml:space="preserve"> (Tuy Hòa) như kế hoạch trong ảnh.</t>
    </r>
  </si>
  <si>
    <r>
      <t>Trưa:</t>
    </r>
    <r>
      <rPr>
        <sz val="12"/>
        <color theme="1"/>
        <rFont val="Aptos"/>
        <family val="2"/>
      </rPr>
      <t xml:space="preserve"> Ăn cơm gà tại Tuy Hòa (Quán Tuyết Nhung - 189 Lê Thánh Tôn).</t>
    </r>
  </si>
  <si>
    <r>
      <t>Chiều (17h00):</t>
    </r>
    <r>
      <rPr>
        <sz val="12"/>
        <color theme="1"/>
        <rFont val="Aptos"/>
        <family val="2"/>
      </rPr>
      <t xml:space="preserve"> Check-in Quy Nhơn. Tối dạo phố ẩm thực </t>
    </r>
    <r>
      <rPr>
        <b/>
        <sz val="12"/>
        <color theme="1"/>
        <rFont val="Aptos"/>
        <family val="2"/>
      </rPr>
      <t>Ngô Văn Sở</t>
    </r>
    <r>
      <rPr>
        <sz val="12"/>
        <color theme="1"/>
        <rFont val="Aptos"/>
        <family val="2"/>
      </rPr>
      <t>.</t>
    </r>
  </si>
  <si>
    <t>Ngày 5 (29/04): Kỳ Co – Eo Gió (Đêm lễ - Đặt phòng sớm)</t>
  </si>
  <si>
    <r>
      <t>Sáng:</t>
    </r>
    <r>
      <rPr>
        <sz val="12"/>
        <color theme="1"/>
        <rFont val="Aptos"/>
        <family val="2"/>
      </rPr>
      <t xml:space="preserve"> Đi Nhơn Lý, đi cano ra </t>
    </r>
    <r>
      <rPr>
        <b/>
        <sz val="12"/>
        <color theme="1"/>
        <rFont val="Aptos"/>
        <family val="2"/>
      </rPr>
      <t>Đảo Kỳ Co</t>
    </r>
    <r>
      <rPr>
        <sz val="12"/>
        <color theme="1"/>
        <rFont val="Aptos"/>
        <family val="2"/>
      </rPr>
      <t xml:space="preserve"> tắm biển, sau đó về check-in </t>
    </r>
    <r>
      <rPr>
        <b/>
        <sz val="12"/>
        <color theme="1"/>
        <rFont val="Aptos"/>
        <family val="2"/>
      </rPr>
      <t>Eo Gió</t>
    </r>
    <r>
      <rPr>
        <sz val="12"/>
        <color theme="1"/>
        <rFont val="Aptos"/>
        <family val="2"/>
      </rPr>
      <t xml:space="preserve"> (nơi ngắm hoàng hôn/bình minh đẹp nhất).</t>
    </r>
  </si>
  <si>
    <r>
      <t>Chiều:</t>
    </r>
    <r>
      <rPr>
        <sz val="12"/>
        <color theme="1"/>
        <rFont val="Aptos"/>
        <family val="2"/>
      </rPr>
      <t xml:space="preserve"> Thăm </t>
    </r>
    <r>
      <rPr>
        <b/>
        <sz val="12"/>
        <color theme="1"/>
        <rFont val="Aptos"/>
        <family val="2"/>
      </rPr>
      <t>Tịnh xá Ngọc Hòa</t>
    </r>
    <r>
      <rPr>
        <sz val="12"/>
        <color theme="1"/>
        <rFont val="Aptos"/>
        <family val="2"/>
      </rPr>
      <t xml:space="preserve"> (có tượng Phật đôi cao nhất VN).</t>
    </r>
  </si>
  <si>
    <r>
      <t>Ăn uống:</t>
    </r>
    <r>
      <rPr>
        <sz val="12"/>
        <color theme="1"/>
        <rFont val="Aptos"/>
        <family val="2"/>
      </rPr>
      <t xml:space="preserve"> Hải sản tươi tại Nhơn Lý (Quán Hướng Dương hoặc Hoàng Thao).</t>
    </r>
  </si>
  <si>
    <r>
      <t>📍</t>
    </r>
    <r>
      <rPr>
        <b/>
        <sz val="12"/>
        <color theme="1"/>
        <rFont val="Aptos"/>
        <family val="2"/>
      </rPr>
      <t xml:space="preserve"> Chặng 3: Huế (30/04 – 01/05)</t>
    </r>
  </si>
  <si>
    <r>
      <t xml:space="preserve">Ngày 6 (30/04): Quy Nhơn </t>
    </r>
    <r>
      <rPr>
        <b/>
        <sz val="12"/>
        <color theme="1"/>
        <rFont val="Segoe UI Symbol"/>
        <family val="2"/>
      </rPr>
      <t>➔</t>
    </r>
    <r>
      <rPr>
        <b/>
        <sz val="12"/>
        <color theme="1"/>
        <rFont val="Aptos"/>
        <family val="2"/>
      </rPr>
      <t xml:space="preserve"> Huế (400km ~ 7-8 tiếng)</t>
    </r>
  </si>
  <si>
    <r>
      <t>Lưu ý:</t>
    </r>
    <r>
      <rPr>
        <sz val="12"/>
        <color theme="1"/>
        <rFont val="Aptos"/>
        <family val="2"/>
      </rPr>
      <t xml:space="preserve"> Đây là quãng đường dài nhất. Nên xuất phát từ 06h00 sáng.</t>
    </r>
  </si>
  <si>
    <r>
      <t>13h00:</t>
    </r>
    <r>
      <rPr>
        <sz val="12"/>
        <color theme="1"/>
        <rFont val="Aptos"/>
        <family val="2"/>
      </rPr>
      <t xml:space="preserve"> Đến Huế, check-in và nghỉ ngơi.</t>
    </r>
  </si>
  <si>
    <r>
      <t>Chiều:</t>
    </r>
    <r>
      <rPr>
        <sz val="12"/>
        <color theme="1"/>
        <rFont val="Aptos"/>
        <family val="2"/>
      </rPr>
      <t xml:space="preserve"> Tham quan </t>
    </r>
    <r>
      <rPr>
        <b/>
        <sz val="12"/>
        <color theme="1"/>
        <rFont val="Aptos"/>
        <family val="2"/>
      </rPr>
      <t>Đại Nội Huế</t>
    </r>
    <r>
      <rPr>
        <sz val="12"/>
        <color theme="1"/>
        <rFont val="Aptos"/>
        <family val="2"/>
      </rPr>
      <t xml:space="preserve">. Nếu còn sức, ghé </t>
    </r>
    <r>
      <rPr>
        <b/>
        <sz val="12"/>
        <color theme="1"/>
        <rFont val="Aptos"/>
        <family val="2"/>
      </rPr>
      <t>Chùa Thiên Mụ</t>
    </r>
    <r>
      <rPr>
        <sz val="12"/>
        <color theme="1"/>
        <rFont val="Aptos"/>
        <family val="2"/>
      </rPr>
      <t>.</t>
    </r>
  </si>
  <si>
    <r>
      <t>Tối:</t>
    </r>
    <r>
      <rPr>
        <sz val="12"/>
        <color theme="1"/>
        <rFont val="Aptos"/>
        <family val="2"/>
      </rPr>
      <t xml:space="preserve"> Ăn tối món Huế đặc trưng (Bánh bèo, nạm, lọc tại quán Bà Đỏ - 08 Nguyễn Bỉnh Khiêm). Đi thuyền rồng nghe ca Huế trên sông Hương.</t>
    </r>
  </si>
  <si>
    <r>
      <t>📍</t>
    </r>
    <r>
      <rPr>
        <b/>
        <sz val="12"/>
        <color theme="1"/>
        <rFont val="Aptos"/>
        <family val="2"/>
      </rPr>
      <t xml:space="preserve"> Chặng 4: Hà Tĩnh (01/05 – 02/05)</t>
    </r>
  </si>
  <si>
    <r>
      <t xml:space="preserve">Ngày 7 (01/05): Huế </t>
    </r>
    <r>
      <rPr>
        <b/>
        <sz val="12"/>
        <color theme="1"/>
        <rFont val="Segoe UI Symbol"/>
        <family val="2"/>
      </rPr>
      <t>➔</t>
    </r>
    <r>
      <rPr>
        <b/>
        <sz val="12"/>
        <color theme="1"/>
        <rFont val="Aptos"/>
        <family val="2"/>
      </rPr>
      <t xml:space="preserve"> Hà Tĩnh (310km ~ 6 tiếng)</t>
    </r>
  </si>
  <si>
    <r>
      <t>Sáng:</t>
    </r>
    <r>
      <rPr>
        <sz val="12"/>
        <color theme="1"/>
        <rFont val="Aptos"/>
        <family val="2"/>
      </rPr>
      <t xml:space="preserve"> Ăn </t>
    </r>
    <r>
      <rPr>
        <b/>
        <sz val="12"/>
        <color theme="1"/>
        <rFont val="Aptos"/>
        <family val="2"/>
      </rPr>
      <t>Bún bò Huế</t>
    </r>
    <r>
      <rPr>
        <sz val="12"/>
        <color theme="1"/>
        <rFont val="Aptos"/>
        <family val="2"/>
      </rPr>
      <t xml:space="preserve"> (O Phượng hoặc Bún bò Mệ Kéo). Ghé mua đặc sản mắm tôm, trà cung đình làm quà.</t>
    </r>
  </si>
  <si>
    <r>
      <t>Trưa:</t>
    </r>
    <r>
      <rPr>
        <sz val="12"/>
        <color theme="1"/>
        <rFont val="Aptos"/>
        <family val="2"/>
      </rPr>
      <t xml:space="preserve"> Di chuyển về phía Hà Tĩnh. Dừng chân tại </t>
    </r>
    <r>
      <rPr>
        <b/>
        <sz val="12"/>
        <color theme="1"/>
        <rFont val="Aptos"/>
        <family val="2"/>
      </rPr>
      <t>Vũng Chùa – Đảo Yến</t>
    </r>
    <r>
      <rPr>
        <sz val="12"/>
        <color theme="1"/>
        <rFont val="Aptos"/>
        <family val="2"/>
      </rPr>
      <t xml:space="preserve"> (Quảng Bình) viếng mộ Đại tướng Võ Nguyên Giáp.</t>
    </r>
  </si>
  <si>
    <r>
      <t>Chiều (14h00):</t>
    </r>
    <r>
      <rPr>
        <sz val="12"/>
        <color theme="1"/>
        <rFont val="Aptos"/>
        <family val="2"/>
      </rPr>
      <t xml:space="preserve"> Đến Hà Tĩnh. Check-in khách sạn tại </t>
    </r>
    <r>
      <rPr>
        <b/>
        <sz val="12"/>
        <color theme="1"/>
        <rFont val="Aptos"/>
        <family val="2"/>
      </rPr>
      <t>Biển Thiên Cầm</t>
    </r>
    <r>
      <rPr>
        <sz val="12"/>
        <color theme="1"/>
        <rFont val="Aptos"/>
        <family val="2"/>
      </rPr>
      <t xml:space="preserve"> hoặc gần trung tâm.</t>
    </r>
  </si>
  <si>
    <r>
      <t>Tham quan:</t>
    </r>
    <r>
      <rPr>
        <sz val="12"/>
        <color theme="1"/>
        <rFont val="Aptos"/>
        <family val="2"/>
      </rPr>
      <t xml:space="preserve"> Nếu đi theo trục QL1A, bạn có thể ghé </t>
    </r>
    <r>
      <rPr>
        <b/>
        <sz val="12"/>
        <color theme="1"/>
        <rFont val="Aptos"/>
        <family val="2"/>
      </rPr>
      <t>Ngã ba Đồng Lộc</t>
    </r>
    <r>
      <rPr>
        <sz val="12"/>
        <color theme="1"/>
        <rFont val="Aptos"/>
        <family val="2"/>
      </rPr>
      <t xml:space="preserve"> (cách trung tâm Hà Tĩnh 20km) – một điểm di tích lịch sử linh thiêng và ý nghĩa.</t>
    </r>
  </si>
  <si>
    <r>
      <t>Ăn uống:</t>
    </r>
    <r>
      <rPr>
        <sz val="12"/>
        <color theme="1"/>
        <rFont val="Aptos"/>
        <family val="2"/>
      </rPr>
      <t xml:space="preserve"> Thưởng thức </t>
    </r>
    <r>
      <rPr>
        <b/>
        <sz val="12"/>
        <color theme="1"/>
        <rFont val="Aptos"/>
        <family val="2"/>
      </rPr>
      <t>Mực nhảy Vũng Áng</t>
    </r>
    <r>
      <rPr>
        <sz val="12"/>
        <color theme="1"/>
        <rFont val="Aptos"/>
        <family val="2"/>
      </rPr>
      <t xml:space="preserve"> hoặc hải sản tại biển Thiên Cầm. Đừng quên thử đặc sản </t>
    </r>
    <r>
      <rPr>
        <b/>
        <sz val="12"/>
        <color theme="1"/>
        <rFont val="Aptos"/>
        <family val="2"/>
      </rPr>
      <t>Kẹo Cu Đơ</t>
    </r>
    <r>
      <rPr>
        <sz val="12"/>
        <color theme="1"/>
        <rFont val="Aptos"/>
        <family val="2"/>
      </rPr>
      <t xml:space="preserve"> Hà Tĩnh.</t>
    </r>
  </si>
  <si>
    <r>
      <t>🚗</t>
    </r>
    <r>
      <rPr>
        <b/>
        <sz val="12"/>
        <color theme="1"/>
        <rFont val="Aptos"/>
        <family val="2"/>
      </rPr>
      <t xml:space="preserve"> Một số lưu ý quan trọng cho xe cá nhân:</t>
    </r>
  </si>
  <si>
    <r>
      <t>1. Kiểm tra xe:</t>
    </r>
    <r>
      <rPr>
        <sz val="12"/>
        <color theme="1"/>
        <rFont val="Aptos"/>
        <family val="2"/>
      </rPr>
      <t xml:space="preserve"> Trước khi đi, hãy kiểm tra lốp, phanh và dầu nhớt vì chặng đường tổng cộng khoảng hơn 1.000km.</t>
    </r>
  </si>
  <si>
    <r>
      <t>2. Đặt phòng/Nhà hàng:</t>
    </r>
    <r>
      <rPr>
        <sz val="12"/>
        <color theme="1"/>
        <rFont val="Aptos"/>
        <family val="2"/>
      </rPr>
      <t xml:space="preserve"> Như ảnh lưu ý, ngày 29/04 - 01/05 là đỉnh điểm lễ. Bạn nên </t>
    </r>
    <r>
      <rPr>
        <b/>
        <sz val="12"/>
        <color theme="1"/>
        <rFont val="Aptos"/>
        <family val="2"/>
      </rPr>
      <t>chốt đặt phòng ngay bây giờ</t>
    </r>
    <r>
      <rPr>
        <sz val="12"/>
        <color theme="1"/>
        <rFont val="Aptos"/>
        <family val="2"/>
      </rPr>
      <t xml:space="preserve"> và gọi điện đặt bàn trước tại các nhà hàng nổi tiếng.</t>
    </r>
  </si>
  <si>
    <r>
      <t>3. Tốc độ:</t>
    </r>
    <r>
      <rPr>
        <sz val="12"/>
        <color theme="1"/>
        <rFont val="Aptos"/>
        <family val="2"/>
      </rPr>
      <t xml:space="preserve"> Chú ý các biển báo hạn chế tốc độ tại khu vực dân cư ở Phú Yên và Quảng Bình (khu vực này thường xuyên có kiểm soát tốc độ).</t>
    </r>
  </si>
  <si>
    <t>Hoàng Anh cọc ks ở Huế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</si>
</sst>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1F1F1F"/>
      <name val="Arial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Segoe UI Emoji"/>
      <family val="2"/>
    </font>
    <font>
      <b/>
      <sz val="12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164" fontId="0" fillId="0" borderId="0" xfId="1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wrapText="1"/>
    </xf>
    <xf numFmtId="164" fontId="2" fillId="0" borderId="0" xfId="1" applyNumberFormat="1" applyFont="1"/>
    <xf numFmtId="0" fontId="4" fillId="0" borderId="0" xfId="0" applyFont="1"/>
    <xf numFmtId="164" fontId="4" fillId="0" borderId="0" xfId="1" applyNumberFormat="1" applyFont="1"/>
    <xf numFmtId="164" fontId="5" fillId="0" borderId="0" xfId="1" applyNumberFormat="1" applyFont="1"/>
    <xf numFmtId="0" fontId="2" fillId="3" borderId="0" xfId="0" applyFont="1" applyFill="1"/>
    <xf numFmtId="164" fontId="0" fillId="3" borderId="0" xfId="1" applyNumberFormat="1" applyFont="1" applyFill="1"/>
    <xf numFmtId="0" fontId="0" fillId="3" borderId="0" xfId="0" applyFill="1"/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64" fontId="0" fillId="0" borderId="0" xfId="1" quotePrefix="1" applyNumberFormat="1" applyFont="1"/>
    <xf numFmtId="16" fontId="0" fillId="0" borderId="0" xfId="0" applyNumberFormat="1"/>
    <xf numFmtId="0" fontId="0" fillId="0" borderId="0" xfId="0" quotePrefix="1"/>
    <xf numFmtId="0" fontId="6" fillId="0" borderId="0" xfId="0" applyFont="1"/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A68C-3008-4B4C-936F-666E5D38CF6D}">
  <dimension ref="A2:G35"/>
  <sheetViews>
    <sheetView tabSelected="1" workbookViewId="0">
      <selection activeCell="A36" sqref="A36"/>
    </sheetView>
  </sheetViews>
  <sheetFormatPr defaultRowHeight="15" x14ac:dyDescent="0.25"/>
  <cols>
    <col min="1" max="1" width="47.5703125" customWidth="1"/>
    <col min="2" max="2" width="28" customWidth="1"/>
    <col min="3" max="3" width="21.5703125" customWidth="1"/>
    <col min="4" max="4" width="15.28515625" customWidth="1"/>
    <col min="5" max="5" width="18.7109375" customWidth="1"/>
    <col min="7" max="7" width="10.5703125" bestFit="1" customWidth="1"/>
  </cols>
  <sheetData>
    <row r="2" spans="1:5" ht="18.75" x14ac:dyDescent="0.3">
      <c r="A2" s="15" t="s">
        <v>9</v>
      </c>
      <c r="B2" s="15"/>
      <c r="C2" s="15"/>
      <c r="D2" s="15"/>
      <c r="E2" s="15"/>
    </row>
    <row r="3" spans="1:5" x14ac:dyDescent="0.25">
      <c r="A3" s="13" t="s">
        <v>0</v>
      </c>
      <c r="B3" s="14" t="s">
        <v>2</v>
      </c>
      <c r="C3" s="14"/>
      <c r="D3" s="14"/>
      <c r="E3" s="14"/>
    </row>
    <row r="4" spans="1:5" x14ac:dyDescent="0.25">
      <c r="A4" s="13"/>
      <c r="B4" s="2" t="s">
        <v>5</v>
      </c>
      <c r="C4" s="2" t="s">
        <v>1</v>
      </c>
      <c r="D4" s="2" t="s">
        <v>4</v>
      </c>
      <c r="E4" s="2" t="s">
        <v>3</v>
      </c>
    </row>
    <row r="5" spans="1:5" ht="41.25" customHeight="1" x14ac:dyDescent="0.25">
      <c r="A5" s="4" t="s">
        <v>11</v>
      </c>
      <c r="B5" s="8">
        <v>33647000</v>
      </c>
      <c r="C5" s="8">
        <f>B5/3</f>
        <v>11215666.666666666</v>
      </c>
      <c r="D5" s="8">
        <f>B5/3</f>
        <v>11215666.666666666</v>
      </c>
      <c r="E5" s="8">
        <f>B5/3</f>
        <v>11215666.666666666</v>
      </c>
    </row>
    <row r="6" spans="1:5" ht="24.75" customHeight="1" x14ac:dyDescent="0.25">
      <c r="A6" s="4" t="s">
        <v>46</v>
      </c>
      <c r="B6" s="8"/>
      <c r="C6" s="8">
        <f>B6/3</f>
        <v>0</v>
      </c>
      <c r="D6" s="8">
        <f>B6/3</f>
        <v>0</v>
      </c>
      <c r="E6" s="8">
        <f>B6/3</f>
        <v>0</v>
      </c>
    </row>
    <row r="7" spans="1:5" ht="21.75" customHeight="1" x14ac:dyDescent="0.25">
      <c r="A7" t="s">
        <v>12</v>
      </c>
      <c r="B7" s="8">
        <v>1000000</v>
      </c>
      <c r="C7" s="8">
        <f t="shared" ref="C7:C26" si="0">B7/3</f>
        <v>333333.33333333331</v>
      </c>
      <c r="D7" s="8">
        <f t="shared" ref="D7:D26" si="1">B7/3</f>
        <v>333333.33333333331</v>
      </c>
      <c r="E7" s="8">
        <f t="shared" ref="E7:E26" si="2">B7/3</f>
        <v>333333.33333333331</v>
      </c>
    </row>
    <row r="8" spans="1:5" x14ac:dyDescent="0.25">
      <c r="A8" t="s">
        <v>28</v>
      </c>
      <c r="B8" s="1">
        <v>2700000</v>
      </c>
      <c r="C8" s="8">
        <f t="shared" si="0"/>
        <v>900000</v>
      </c>
      <c r="D8" s="8">
        <f t="shared" si="1"/>
        <v>900000</v>
      </c>
      <c r="E8" s="8">
        <f t="shared" si="2"/>
        <v>900000</v>
      </c>
    </row>
    <row r="9" spans="1:5" x14ac:dyDescent="0.25">
      <c r="A9" t="s">
        <v>39</v>
      </c>
      <c r="B9" s="1">
        <v>2600000</v>
      </c>
      <c r="C9" s="8">
        <f t="shared" si="0"/>
        <v>866666.66666666663</v>
      </c>
      <c r="D9" s="8">
        <f t="shared" si="1"/>
        <v>866666.66666666663</v>
      </c>
      <c r="E9" s="8">
        <f t="shared" si="2"/>
        <v>866666.66666666663</v>
      </c>
    </row>
    <row r="10" spans="1:5" x14ac:dyDescent="0.25">
      <c r="A10" t="s">
        <v>32</v>
      </c>
      <c r="B10" s="1">
        <v>1800000</v>
      </c>
      <c r="C10" s="8">
        <f t="shared" si="0"/>
        <v>600000</v>
      </c>
      <c r="D10" s="8">
        <f t="shared" si="1"/>
        <v>600000</v>
      </c>
      <c r="E10" s="8">
        <f t="shared" si="2"/>
        <v>600000</v>
      </c>
    </row>
    <row r="11" spans="1:5" x14ac:dyDescent="0.25">
      <c r="A11" t="s">
        <v>35</v>
      </c>
      <c r="B11" s="1">
        <v>850000</v>
      </c>
      <c r="C11" s="8">
        <f t="shared" si="0"/>
        <v>283333.33333333331</v>
      </c>
      <c r="D11" s="8">
        <f t="shared" si="1"/>
        <v>283333.33333333331</v>
      </c>
      <c r="E11" s="8">
        <f t="shared" si="2"/>
        <v>283333.33333333331</v>
      </c>
    </row>
    <row r="12" spans="1:5" x14ac:dyDescent="0.25">
      <c r="A12" t="s">
        <v>45</v>
      </c>
      <c r="B12" s="1">
        <f>197000</f>
        <v>197000</v>
      </c>
      <c r="C12" s="8">
        <f>B12/2</f>
        <v>98500</v>
      </c>
      <c r="D12" s="8"/>
      <c r="E12" s="8">
        <f>B12/2</f>
        <v>98500</v>
      </c>
    </row>
    <row r="13" spans="1:5" x14ac:dyDescent="0.25">
      <c r="B13" s="1"/>
      <c r="C13" s="8">
        <f t="shared" si="0"/>
        <v>0</v>
      </c>
      <c r="D13" s="8">
        <f t="shared" si="1"/>
        <v>0</v>
      </c>
      <c r="E13" s="8">
        <f t="shared" si="2"/>
        <v>0</v>
      </c>
    </row>
    <row r="14" spans="1:5" x14ac:dyDescent="0.25">
      <c r="B14" s="1"/>
      <c r="C14" s="8">
        <f t="shared" si="0"/>
        <v>0</v>
      </c>
      <c r="D14" s="8">
        <f t="shared" si="1"/>
        <v>0</v>
      </c>
      <c r="E14" s="8">
        <f t="shared" si="2"/>
        <v>0</v>
      </c>
    </row>
    <row r="15" spans="1:5" x14ac:dyDescent="0.25">
      <c r="B15" s="1"/>
      <c r="C15" s="8">
        <f t="shared" si="0"/>
        <v>0</v>
      </c>
      <c r="D15" s="8">
        <f t="shared" si="1"/>
        <v>0</v>
      </c>
      <c r="E15" s="8">
        <f t="shared" si="2"/>
        <v>0</v>
      </c>
    </row>
    <row r="16" spans="1:5" x14ac:dyDescent="0.25">
      <c r="B16" s="1"/>
      <c r="C16" s="8">
        <f t="shared" si="0"/>
        <v>0</v>
      </c>
      <c r="D16" s="8">
        <f t="shared" si="1"/>
        <v>0</v>
      </c>
      <c r="E16" s="8">
        <f t="shared" si="2"/>
        <v>0</v>
      </c>
    </row>
    <row r="17" spans="1:7" x14ac:dyDescent="0.25">
      <c r="B17" s="1"/>
      <c r="C17" s="8">
        <f t="shared" si="0"/>
        <v>0</v>
      </c>
      <c r="D17" s="8">
        <f t="shared" si="1"/>
        <v>0</v>
      </c>
      <c r="E17" s="8">
        <f t="shared" si="2"/>
        <v>0</v>
      </c>
    </row>
    <row r="18" spans="1:7" x14ac:dyDescent="0.25">
      <c r="B18" s="1"/>
      <c r="C18" s="8">
        <f t="shared" si="0"/>
        <v>0</v>
      </c>
      <c r="D18" s="8">
        <f t="shared" si="1"/>
        <v>0</v>
      </c>
      <c r="E18" s="8">
        <f t="shared" si="2"/>
        <v>0</v>
      </c>
    </row>
    <row r="19" spans="1:7" x14ac:dyDescent="0.25">
      <c r="B19" s="1"/>
      <c r="C19" s="8">
        <f t="shared" si="0"/>
        <v>0</v>
      </c>
      <c r="D19" s="8">
        <f t="shared" si="1"/>
        <v>0</v>
      </c>
      <c r="E19" s="8">
        <f t="shared" si="2"/>
        <v>0</v>
      </c>
    </row>
    <row r="20" spans="1:7" x14ac:dyDescent="0.25">
      <c r="B20" s="1"/>
      <c r="C20" s="8">
        <f t="shared" si="0"/>
        <v>0</v>
      </c>
      <c r="D20" s="8">
        <f t="shared" si="1"/>
        <v>0</v>
      </c>
      <c r="E20" s="8">
        <f t="shared" si="2"/>
        <v>0</v>
      </c>
    </row>
    <row r="21" spans="1:7" x14ac:dyDescent="0.25">
      <c r="B21" s="1"/>
      <c r="C21" s="8">
        <f t="shared" si="0"/>
        <v>0</v>
      </c>
      <c r="D21" s="8">
        <f t="shared" si="1"/>
        <v>0</v>
      </c>
      <c r="E21" s="8">
        <f t="shared" si="2"/>
        <v>0</v>
      </c>
    </row>
    <row r="22" spans="1:7" x14ac:dyDescent="0.25">
      <c r="B22" s="1"/>
      <c r="C22" s="8">
        <f t="shared" si="0"/>
        <v>0</v>
      </c>
      <c r="D22" s="8">
        <f t="shared" si="1"/>
        <v>0</v>
      </c>
      <c r="E22" s="8">
        <f t="shared" si="2"/>
        <v>0</v>
      </c>
    </row>
    <row r="23" spans="1:7" x14ac:dyDescent="0.25">
      <c r="B23" s="1"/>
      <c r="C23" s="8">
        <f t="shared" si="0"/>
        <v>0</v>
      </c>
      <c r="D23" s="8">
        <f t="shared" si="1"/>
        <v>0</v>
      </c>
      <c r="E23" s="8">
        <f t="shared" si="2"/>
        <v>0</v>
      </c>
    </row>
    <row r="24" spans="1:7" x14ac:dyDescent="0.25">
      <c r="B24" s="1"/>
      <c r="C24" s="8">
        <f t="shared" si="0"/>
        <v>0</v>
      </c>
      <c r="D24" s="8">
        <f t="shared" si="1"/>
        <v>0</v>
      </c>
      <c r="E24" s="8">
        <f t="shared" si="2"/>
        <v>0</v>
      </c>
    </row>
    <row r="25" spans="1:7" x14ac:dyDescent="0.25">
      <c r="B25" s="1"/>
      <c r="C25" s="8">
        <f t="shared" si="0"/>
        <v>0</v>
      </c>
      <c r="D25" s="8">
        <f t="shared" si="1"/>
        <v>0</v>
      </c>
      <c r="E25" s="8">
        <f t="shared" si="2"/>
        <v>0</v>
      </c>
    </row>
    <row r="26" spans="1:7" x14ac:dyDescent="0.25">
      <c r="B26" s="1"/>
      <c r="C26" s="8">
        <f t="shared" si="0"/>
        <v>0</v>
      </c>
      <c r="D26" s="8">
        <f t="shared" si="1"/>
        <v>0</v>
      </c>
      <c r="E26" s="8">
        <f t="shared" si="2"/>
        <v>0</v>
      </c>
    </row>
    <row r="27" spans="1:7" x14ac:dyDescent="0.25">
      <c r="A27" s="3" t="s">
        <v>8</v>
      </c>
      <c r="B27" s="5">
        <f>SUM(B5:B26)</f>
        <v>42794000</v>
      </c>
      <c r="C27" s="5">
        <f t="shared" ref="C27:E27" si="3">SUM(C5:C26)</f>
        <v>14297500</v>
      </c>
      <c r="D27" s="5">
        <f t="shared" si="3"/>
        <v>14199000</v>
      </c>
      <c r="E27" s="5">
        <f t="shared" si="3"/>
        <v>14297500</v>
      </c>
    </row>
    <row r="28" spans="1:7" x14ac:dyDescent="0.25">
      <c r="A28" s="9" t="s">
        <v>6</v>
      </c>
      <c r="B28" s="10"/>
      <c r="C28" s="10"/>
      <c r="D28" s="10"/>
      <c r="E28" s="10"/>
    </row>
    <row r="29" spans="1:7" x14ac:dyDescent="0.25">
      <c r="A29" s="11" t="s">
        <v>10</v>
      </c>
      <c r="B29" s="10"/>
      <c r="C29" s="10"/>
      <c r="D29" s="10">
        <v>15000000</v>
      </c>
      <c r="E29" s="10">
        <v>15000000</v>
      </c>
      <c r="G29" s="12"/>
    </row>
    <row r="30" spans="1:7" x14ac:dyDescent="0.25">
      <c r="A30" s="11" t="s">
        <v>88</v>
      </c>
      <c r="B30" s="10"/>
      <c r="C30" s="10"/>
      <c r="D30" s="10"/>
      <c r="E30" s="10">
        <v>300000</v>
      </c>
    </row>
    <row r="31" spans="1:7" x14ac:dyDescent="0.25">
      <c r="A31" s="11"/>
      <c r="B31" s="10"/>
      <c r="C31" s="10"/>
      <c r="D31" s="10"/>
      <c r="E31" s="10"/>
    </row>
    <row r="32" spans="1:7" x14ac:dyDescent="0.25">
      <c r="A32" s="11"/>
      <c r="B32" s="10"/>
      <c r="C32" s="10"/>
      <c r="D32" s="10"/>
      <c r="E32" s="10"/>
    </row>
    <row r="33" spans="1:5" x14ac:dyDescent="0.25">
      <c r="A33" s="6" t="s">
        <v>7</v>
      </c>
      <c r="B33" s="7"/>
      <c r="C33" s="7"/>
      <c r="D33" s="7">
        <f>D27-D29</f>
        <v>-801000</v>
      </c>
      <c r="E33" s="7">
        <f>E27-E29-E30</f>
        <v>-1002500</v>
      </c>
    </row>
    <row r="34" spans="1:5" x14ac:dyDescent="0.25">
      <c r="B34" s="1"/>
      <c r="C34" s="1"/>
      <c r="D34" s="1"/>
      <c r="E34" s="1"/>
    </row>
    <row r="35" spans="1:5" x14ac:dyDescent="0.25">
      <c r="B35" s="1"/>
      <c r="C35" s="1"/>
      <c r="D35" s="1"/>
      <c r="E35" s="1"/>
    </row>
  </sheetData>
  <mergeCells count="3">
    <mergeCell ref="A2:E2"/>
    <mergeCell ref="A3:A4"/>
    <mergeCell ref="B3:E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85396-1FC8-4BF8-A1F4-A421A7E0524C}">
  <dimension ref="A2:I10"/>
  <sheetViews>
    <sheetView workbookViewId="0">
      <selection activeCell="C14" sqref="C14"/>
    </sheetView>
  </sheetViews>
  <sheetFormatPr defaultRowHeight="15" x14ac:dyDescent="0.25"/>
  <cols>
    <col min="1" max="1" width="12.5703125" customWidth="1"/>
    <col min="2" max="2" width="29" customWidth="1"/>
    <col min="4" max="4" width="15.28515625" customWidth="1"/>
    <col min="5" max="6" width="11.5703125" bestFit="1" customWidth="1"/>
    <col min="7" max="7" width="20.42578125" customWidth="1"/>
    <col min="8" max="8" width="73.140625" bestFit="1" customWidth="1"/>
    <col min="9" max="9" width="38.140625" customWidth="1"/>
  </cols>
  <sheetData>
    <row r="2" spans="1:9" x14ac:dyDescent="0.25">
      <c r="A2" s="25" t="s">
        <v>13</v>
      </c>
      <c r="B2" s="25" t="s">
        <v>15</v>
      </c>
      <c r="C2" s="25" t="s">
        <v>16</v>
      </c>
      <c r="D2" s="25" t="s">
        <v>8</v>
      </c>
      <c r="E2" s="25" t="s">
        <v>17</v>
      </c>
      <c r="F2" s="25" t="s">
        <v>18</v>
      </c>
      <c r="G2" s="25" t="s">
        <v>23</v>
      </c>
      <c r="H2" s="25" t="s">
        <v>19</v>
      </c>
      <c r="I2" s="25" t="s">
        <v>20</v>
      </c>
    </row>
    <row r="3" spans="1:9" x14ac:dyDescent="0.25">
      <c r="A3" t="s">
        <v>14</v>
      </c>
      <c r="B3" t="s">
        <v>21</v>
      </c>
      <c r="C3">
        <v>1</v>
      </c>
      <c r="D3" s="1">
        <v>1000000</v>
      </c>
      <c r="E3" s="1">
        <v>500000</v>
      </c>
      <c r="F3" s="1">
        <v>500000</v>
      </c>
      <c r="G3" s="16" t="s">
        <v>24</v>
      </c>
      <c r="H3" t="s">
        <v>22</v>
      </c>
      <c r="I3" t="s">
        <v>30</v>
      </c>
    </row>
    <row r="4" spans="1:9" x14ac:dyDescent="0.25">
      <c r="A4" t="s">
        <v>25</v>
      </c>
      <c r="B4" t="s">
        <v>28</v>
      </c>
      <c r="C4">
        <v>2</v>
      </c>
      <c r="D4" s="1">
        <v>2700000</v>
      </c>
      <c r="E4" s="1">
        <v>900000</v>
      </c>
      <c r="F4" s="12">
        <f>D4-E4</f>
        <v>1800000</v>
      </c>
      <c r="G4" s="18" t="s">
        <v>42</v>
      </c>
      <c r="H4" t="s">
        <v>43</v>
      </c>
      <c r="I4" t="s">
        <v>26</v>
      </c>
    </row>
    <row r="5" spans="1:9" x14ac:dyDescent="0.25">
      <c r="A5" t="s">
        <v>27</v>
      </c>
      <c r="B5" t="s">
        <v>39</v>
      </c>
      <c r="C5">
        <v>2</v>
      </c>
      <c r="D5" s="1">
        <v>2600000</v>
      </c>
      <c r="E5" s="1">
        <v>1000000</v>
      </c>
      <c r="F5" s="12">
        <f t="shared" ref="F5:F8" si="0">D5-E5</f>
        <v>1600000</v>
      </c>
      <c r="G5" s="18" t="s">
        <v>40</v>
      </c>
      <c r="H5" s="19" t="s">
        <v>41</v>
      </c>
      <c r="I5" t="s">
        <v>29</v>
      </c>
    </row>
    <row r="6" spans="1:9" x14ac:dyDescent="0.25">
      <c r="A6" t="s">
        <v>31</v>
      </c>
      <c r="B6" t="s">
        <v>32</v>
      </c>
      <c r="C6">
        <v>1</v>
      </c>
      <c r="D6" s="1">
        <v>1800000</v>
      </c>
      <c r="E6" s="1">
        <v>300000</v>
      </c>
      <c r="F6" s="12">
        <f t="shared" si="0"/>
        <v>1500000</v>
      </c>
      <c r="H6" t="s">
        <v>37</v>
      </c>
      <c r="I6" t="s">
        <v>33</v>
      </c>
    </row>
    <row r="7" spans="1:9" x14ac:dyDescent="0.25">
      <c r="A7" s="17" t="s">
        <v>34</v>
      </c>
      <c r="B7" t="s">
        <v>35</v>
      </c>
      <c r="C7">
        <v>1</v>
      </c>
      <c r="D7" s="1">
        <v>850000</v>
      </c>
      <c r="E7" s="1">
        <v>200000</v>
      </c>
      <c r="F7" s="12">
        <f t="shared" si="0"/>
        <v>650000</v>
      </c>
      <c r="G7" s="18" t="s">
        <v>36</v>
      </c>
      <c r="H7" t="s">
        <v>44</v>
      </c>
      <c r="I7" t="s">
        <v>38</v>
      </c>
    </row>
    <row r="8" spans="1:9" x14ac:dyDescent="0.25">
      <c r="D8" s="1"/>
      <c r="E8" s="1"/>
      <c r="F8" s="12">
        <f t="shared" si="0"/>
        <v>0</v>
      </c>
    </row>
    <row r="9" spans="1:9" x14ac:dyDescent="0.25">
      <c r="D9" s="1"/>
      <c r="E9" s="1"/>
    </row>
    <row r="10" spans="1:9" x14ac:dyDescent="0.25">
      <c r="D10" s="1"/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D56E2-17A0-416B-BBB2-EDAD413EBEEB}">
  <dimension ref="B2:B51"/>
  <sheetViews>
    <sheetView topLeftCell="A32" workbookViewId="0">
      <selection activeCell="S17" sqref="S17"/>
    </sheetView>
  </sheetViews>
  <sheetFormatPr defaultRowHeight="15" x14ac:dyDescent="0.25"/>
  <cols>
    <col min="2" max="2" width="248.28515625" bestFit="1" customWidth="1"/>
  </cols>
  <sheetData>
    <row r="2" spans="2:2" ht="17.25" x14ac:dyDescent="0.25">
      <c r="B2" s="20" t="s">
        <v>47</v>
      </c>
    </row>
    <row r="3" spans="2:2" ht="15.75" x14ac:dyDescent="0.25">
      <c r="B3" s="21" t="s">
        <v>48</v>
      </c>
    </row>
    <row r="4" spans="2:2" ht="15.75" x14ac:dyDescent="0.25">
      <c r="B4" s="22" t="s">
        <v>49</v>
      </c>
    </row>
    <row r="5" spans="2:2" ht="15.75" x14ac:dyDescent="0.25">
      <c r="B5" s="22" t="s">
        <v>50</v>
      </c>
    </row>
    <row r="6" spans="2:2" ht="15.75" x14ac:dyDescent="0.25">
      <c r="B6" s="21" t="s">
        <v>51</v>
      </c>
    </row>
    <row r="7" spans="2:2" ht="15.75" x14ac:dyDescent="0.25">
      <c r="B7" s="22" t="s">
        <v>52</v>
      </c>
    </row>
    <row r="8" spans="2:2" ht="15.75" x14ac:dyDescent="0.25">
      <c r="B8" s="22" t="s">
        <v>53</v>
      </c>
    </row>
    <row r="9" spans="2:2" ht="15.75" x14ac:dyDescent="0.25">
      <c r="B9" s="23" t="s">
        <v>54</v>
      </c>
    </row>
    <row r="10" spans="2:2" ht="15.75" x14ac:dyDescent="0.25">
      <c r="B10" s="22" t="s">
        <v>55</v>
      </c>
    </row>
    <row r="11" spans="2:2" ht="15.75" x14ac:dyDescent="0.25">
      <c r="B11" s="22" t="s">
        <v>56</v>
      </c>
    </row>
    <row r="12" spans="2:2" ht="15.75" x14ac:dyDescent="0.25">
      <c r="B12" s="22" t="s">
        <v>57</v>
      </c>
    </row>
    <row r="13" spans="2:2" ht="15.75" x14ac:dyDescent="0.25">
      <c r="B13" s="21" t="s">
        <v>58</v>
      </c>
    </row>
    <row r="14" spans="2:2" ht="15.75" x14ac:dyDescent="0.25">
      <c r="B14" s="22" t="s">
        <v>59</v>
      </c>
    </row>
    <row r="15" spans="2:2" ht="15.75" x14ac:dyDescent="0.25">
      <c r="B15" s="22" t="s">
        <v>60</v>
      </c>
    </row>
    <row r="16" spans="2:2" ht="15.75" x14ac:dyDescent="0.25">
      <c r="B16" s="22" t="s">
        <v>61</v>
      </c>
    </row>
    <row r="19" spans="2:2" ht="17.25" x14ac:dyDescent="0.25">
      <c r="B19" s="20" t="s">
        <v>62</v>
      </c>
    </row>
    <row r="20" spans="2:2" ht="17.25" x14ac:dyDescent="0.25">
      <c r="B20" s="21" t="s">
        <v>63</v>
      </c>
    </row>
    <row r="21" spans="2:2" ht="15.75" x14ac:dyDescent="0.25">
      <c r="B21" s="22" t="s">
        <v>64</v>
      </c>
    </row>
    <row r="22" spans="2:2" ht="15.75" x14ac:dyDescent="0.25">
      <c r="B22" s="22" t="s">
        <v>65</v>
      </c>
    </row>
    <row r="23" spans="2:2" ht="15.75" x14ac:dyDescent="0.25">
      <c r="B23" s="22" t="s">
        <v>66</v>
      </c>
    </row>
    <row r="24" spans="2:2" ht="15.75" x14ac:dyDescent="0.25">
      <c r="B24" s="21" t="s">
        <v>67</v>
      </c>
    </row>
    <row r="25" spans="2:2" ht="15.75" x14ac:dyDescent="0.25">
      <c r="B25" s="22" t="s">
        <v>68</v>
      </c>
    </row>
    <row r="26" spans="2:2" ht="15.75" x14ac:dyDescent="0.25">
      <c r="B26" s="22" t="s">
        <v>69</v>
      </c>
    </row>
    <row r="27" spans="2:2" ht="15.75" x14ac:dyDescent="0.25">
      <c r="B27" s="22" t="s">
        <v>70</v>
      </c>
    </row>
    <row r="30" spans="2:2" ht="17.25" x14ac:dyDescent="0.25">
      <c r="B30" s="20" t="s">
        <v>71</v>
      </c>
    </row>
    <row r="31" spans="2:2" ht="17.25" x14ac:dyDescent="0.25">
      <c r="B31" s="21" t="s">
        <v>72</v>
      </c>
    </row>
    <row r="32" spans="2:2" ht="15.75" x14ac:dyDescent="0.25">
      <c r="B32" s="22" t="s">
        <v>73</v>
      </c>
    </row>
    <row r="33" spans="2:2" ht="15.75" x14ac:dyDescent="0.25">
      <c r="B33" s="22" t="s">
        <v>74</v>
      </c>
    </row>
    <row r="34" spans="2:2" ht="15.75" x14ac:dyDescent="0.25">
      <c r="B34" s="22" t="s">
        <v>75</v>
      </c>
    </row>
    <row r="35" spans="2:2" ht="15.75" x14ac:dyDescent="0.25">
      <c r="B35" s="22" t="s">
        <v>76</v>
      </c>
    </row>
    <row r="38" spans="2:2" ht="17.25" x14ac:dyDescent="0.25">
      <c r="B38" s="20" t="s">
        <v>77</v>
      </c>
    </row>
    <row r="39" spans="2:2" ht="17.25" x14ac:dyDescent="0.25">
      <c r="B39" s="21" t="s">
        <v>78</v>
      </c>
    </row>
    <row r="40" spans="2:2" ht="15.75" x14ac:dyDescent="0.25">
      <c r="B40" s="22" t="s">
        <v>79</v>
      </c>
    </row>
    <row r="41" spans="2:2" ht="15.75" x14ac:dyDescent="0.25">
      <c r="B41" s="22" t="s">
        <v>80</v>
      </c>
    </row>
    <row r="42" spans="2:2" ht="15.75" x14ac:dyDescent="0.25">
      <c r="B42" s="22" t="s">
        <v>81</v>
      </c>
    </row>
    <row r="43" spans="2:2" ht="15.75" x14ac:dyDescent="0.25">
      <c r="B43" s="22" t="s">
        <v>82</v>
      </c>
    </row>
    <row r="44" spans="2:2" ht="15.75" x14ac:dyDescent="0.25">
      <c r="B44" s="22" t="s">
        <v>83</v>
      </c>
    </row>
    <row r="47" spans="2:2" ht="17.25" x14ac:dyDescent="0.25">
      <c r="B47" s="20" t="s">
        <v>84</v>
      </c>
    </row>
    <row r="48" spans="2:2" ht="15.75" x14ac:dyDescent="0.25">
      <c r="B48" s="22" t="s">
        <v>85</v>
      </c>
    </row>
    <row r="49" spans="2:2" ht="15.75" x14ac:dyDescent="0.25">
      <c r="B49" s="22" t="s">
        <v>86</v>
      </c>
    </row>
    <row r="50" spans="2:2" ht="15.75" x14ac:dyDescent="0.25">
      <c r="B50" s="22" t="s">
        <v>87</v>
      </c>
    </row>
    <row r="51" spans="2:2" ht="15.75" x14ac:dyDescent="0.25">
      <c r="B5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30.4</vt:lpstr>
      <vt:lpstr>Khách sạn</vt:lpstr>
      <vt:lpstr>Lịch trình tham quan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Tam, Ngo Thi</dc:creator>
  <cp:lastModifiedBy>Tam, Ngo Thi</cp:lastModifiedBy>
  <dcterms:created xsi:type="dcterms:W3CDTF">2023-05-04T03:49:03Z</dcterms:created>
  <dcterms:modified xsi:type="dcterms:W3CDTF">2026-04-22T09:48:08Z</dcterms:modified>
</cp:coreProperties>
</file>